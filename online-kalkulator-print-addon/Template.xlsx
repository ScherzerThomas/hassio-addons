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codeName="DieseArbeitsmappe"/>
  <mc:AlternateContent xmlns:mc="http://schemas.openxmlformats.org/markup-compatibility/2006">
    <mc:Choice Requires="x15">
      <x15ac:absPath xmlns:x15ac="http://schemas.microsoft.com/office/spreadsheetml/2010/11/ac" url="C:\Users\Scherzer Thomas\Documents\GitHub\hassio-addons\online-kalkulator-print-addon\"/>
    </mc:Choice>
  </mc:AlternateContent>
  <xr:revisionPtr revIDLastSave="0" documentId="13_ncr:1_{1A3A1188-E210-4C36-B682-047F3EE7F3D9}" xr6:coauthVersionLast="47" xr6:coauthVersionMax="47" xr10:uidLastSave="{00000000-0000-0000-0000-000000000000}"/>
  <bookViews>
    <workbookView xWindow="46470" yWindow="0" windowWidth="19380" windowHeight="20970" xr2:uid="{00000000-000D-0000-FFFF-FFFF00000000}"/>
  </bookViews>
  <sheets>
    <sheet name="Arbeitsverfahren" sheetId="1" r:id="rId1"/>
  </sheets>
  <definedNames>
    <definedName name="_xlnm._FilterDatabase" localSheetId="0" hidden="1">Arbeitsverfahren!$A$3:$F$69</definedName>
    <definedName name="GK_LeistungsbereichMax" localSheetId="0">Arbeitsverfahren!$D$87</definedName>
    <definedName name="GK_LeistungsbereichMin" localSheetId="0">Arbeitsverfahren!$C$87</definedName>
    <definedName name="GK_NebenzeitenGrundmaschine" localSheetId="0">Arbeitsverfahren!$D$75</definedName>
    <definedName name="GK_NebenzeitenPersonal" localSheetId="0">Arbeitsverfahren!$D$74</definedName>
    <definedName name="GK_OrganisationsUnternehmenskosten" localSheetId="0">Arbeitsverfahren!$D$79</definedName>
    <definedName name="GK_Personalkosten" localSheetId="0">Arbeitsverfahren!$E$71</definedName>
    <definedName name="GK_Wagnis" localSheetId="0">Arbeitsverfahren!$D$82</definedName>
    <definedName name="GM_Anschaffungspreis" localSheetId="0">Arbeitsverfahren!$D$5</definedName>
    <definedName name="GM_GebuehrenRel" localSheetId="0">Arbeitsverfahren!$C$28</definedName>
    <definedName name="GM_Jahresstunden" localSheetId="0">Arbeitsverfahren!$D$8</definedName>
    <definedName name="GM_MieteAbs" localSheetId="0">Arbeitsverfahren!$D$27</definedName>
    <definedName name="GM_Name" localSheetId="0">Arbeitsverfahren!$C$4</definedName>
    <definedName name="GM_Nutzungsdauer" localSheetId="0">Arbeitsverfahren!$D$9</definedName>
    <definedName name="GM_ReparaturenRel" localSheetId="0">Arbeitsverfahren!$C$53</definedName>
    <definedName name="GM_Restwert" localSheetId="0">Arbeitsverfahren!$D$6</definedName>
    <definedName name="GM_SchmierstoffKosten" localSheetId="0">Arbeitsverfahren!$D$52</definedName>
    <definedName name="GM_SchmierstoffVerbrauch" localSheetId="0">Arbeitsverfahren!$C$52</definedName>
    <definedName name="GM_SonstigesKosten" localSheetId="0">Arbeitsverfahren!$D$54</definedName>
    <definedName name="GM_SonstigesVerbrauch" localSheetId="0">Arbeitsverfahren!$C$54</definedName>
    <definedName name="GM_TreibstoffKosten" localSheetId="0">Arbeitsverfahren!$D$51</definedName>
    <definedName name="GM_TreibstoffVerbrauch" localSheetId="0">Arbeitsverfahren!$C$51</definedName>
    <definedName name="GM_UnterbringungRel" localSheetId="0">Arbeitsverfahren!$C$30</definedName>
    <definedName name="GM_VersicherungRel" localSheetId="0">Arbeitsverfahren!$C$29</definedName>
    <definedName name="GM_Zinssatz" localSheetId="0">Arbeitsverfahren!$D$7</definedName>
    <definedName name="M1_Aktiv" localSheetId="0">Arbeitsverfahren!$A$11:$A$15,Arbeitsverfahren!$A$32:$A$39,Arbeitsverfahren!$A$56:$A$61</definedName>
    <definedName name="M1_Anschaffungspreis" localSheetId="0">Arbeitsverfahren!$D$11</definedName>
    <definedName name="M1_GebuehrenRel" localSheetId="0">Arbeitsverfahren!$C$36</definedName>
    <definedName name="M1_Jahresstunden" localSheetId="0">Arbeitsverfahren!$D$14</definedName>
    <definedName name="M1_MieteAbs" localSheetId="0">Arbeitsverfahren!$D$35</definedName>
    <definedName name="M1_Name" localSheetId="0">Arbeitsverfahren!$C$10</definedName>
    <definedName name="M1_Nutzungsdauer" localSheetId="0">Arbeitsverfahren!$D$15</definedName>
    <definedName name="M1_ReparaturenRel" localSheetId="0">Arbeitsverfahren!$C$59</definedName>
    <definedName name="M1_Restwert" localSheetId="0">Arbeitsverfahren!$D$12</definedName>
    <definedName name="M1_SchmierstoffKosten" localSheetId="0">Arbeitsverfahren!$D$58</definedName>
    <definedName name="M1_SchmierstoffVerbrauch" localSheetId="0">Arbeitsverfahren!$C$58</definedName>
    <definedName name="M1_SonstigesKosten" localSheetId="0">Arbeitsverfahren!$D$60</definedName>
    <definedName name="M1_SonstigesVerbrauch" localSheetId="0">Arbeitsverfahren!$C$60</definedName>
    <definedName name="M1_TreibstoffKosten" localSheetId="0">Arbeitsverfahren!$D$57</definedName>
    <definedName name="M1_TreibstoffVerbrauch" localSheetId="0">Arbeitsverfahren!$C$57</definedName>
    <definedName name="M1_UnterbringungRel" localSheetId="0">Arbeitsverfahren!$C$38</definedName>
    <definedName name="M1_VersicherungRel" localSheetId="0">Arbeitsverfahren!$C$37</definedName>
    <definedName name="M1_Zinssatz" localSheetId="0">Arbeitsverfahren!$D$13</definedName>
    <definedName name="M2_Aktiv" localSheetId="0">Arbeitsverfahren!$A$17:$A$21,Arbeitsverfahren!$A$40:$A$47,Arbeitsverfahren!$A$62:$A$67</definedName>
    <definedName name="M2_Anschaffungspreis" localSheetId="0">Arbeitsverfahren!$D$17</definedName>
    <definedName name="M2_GebuehrenRel" localSheetId="0">Arbeitsverfahren!$C$44</definedName>
    <definedName name="M2_Jahresstunden" localSheetId="0">Arbeitsverfahren!$D$20</definedName>
    <definedName name="M2_MieteAbs" localSheetId="0">Arbeitsverfahren!$D$43</definedName>
    <definedName name="M2_Name" localSheetId="0">Arbeitsverfahren!$C$16</definedName>
    <definedName name="M2_Nutzungsdauer" localSheetId="0">Arbeitsverfahren!$D$21</definedName>
    <definedName name="M2_ReparaturenRel" localSheetId="0">Arbeitsverfahren!$C$65</definedName>
    <definedName name="M2_Restwert" localSheetId="0">Arbeitsverfahren!$D$18</definedName>
    <definedName name="M2_SchmierstoffKosten" localSheetId="0">Arbeitsverfahren!$D$64</definedName>
    <definedName name="M2_SchmierstoffVerbrauch" localSheetId="0">Arbeitsverfahren!$C$64</definedName>
    <definedName name="M2_SonstigesKosten" localSheetId="0">Arbeitsverfahren!$D$66</definedName>
    <definedName name="M2_SonstigesVerbrauch" localSheetId="0">Arbeitsverfahren!$C$66</definedName>
    <definedName name="M2_TreibstoffKosten" localSheetId="0">Arbeitsverfahren!$D$63</definedName>
    <definedName name="M2_TreibstoffVerbrauch" localSheetId="0">Arbeitsverfahren!$C$63</definedName>
    <definedName name="M2_UnterbringungRel" localSheetId="0">Arbeitsverfahren!$C$46</definedName>
    <definedName name="M2_VersicherungRel" localSheetId="0">Arbeitsverfahren!$C$45</definedName>
    <definedName name="M2_Zinssatz" localSheetId="0">Arbeitsverfahren!$D$19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F20" i="1" l="1"/>
  <c r="F14" i="1"/>
  <c r="F8" i="1"/>
  <c r="A63" i="1"/>
  <c r="A64" i="1"/>
  <c r="A65" i="1"/>
  <c r="A66" i="1"/>
  <c r="A67" i="1"/>
  <c r="A62" i="1"/>
  <c r="A57" i="1"/>
  <c r="A58" i="1"/>
  <c r="A59" i="1"/>
  <c r="A60" i="1"/>
  <c r="A61" i="1"/>
  <c r="A56" i="1"/>
  <c r="A41" i="1"/>
  <c r="A42" i="1"/>
  <c r="A43" i="1"/>
  <c r="A44" i="1"/>
  <c r="A45" i="1"/>
  <c r="A46" i="1"/>
  <c r="A47" i="1"/>
  <c r="A40" i="1"/>
  <c r="A33" i="1"/>
  <c r="A34" i="1"/>
  <c r="A35" i="1"/>
  <c r="A36" i="1"/>
  <c r="A37" i="1"/>
  <c r="A38" i="1"/>
  <c r="A39" i="1"/>
  <c r="A32" i="1"/>
  <c r="A18" i="1"/>
  <c r="A19" i="1"/>
  <c r="A20" i="1"/>
  <c r="A21" i="1"/>
  <c r="A17" i="1"/>
  <c r="A12" i="1"/>
  <c r="A13" i="1"/>
  <c r="A14" i="1"/>
  <c r="A15" i="1"/>
  <c r="A11" i="1"/>
  <c r="E43" i="1"/>
  <c r="E35" i="1"/>
  <c r="E27" i="1"/>
  <c r="D41" i="1"/>
  <c r="E41" i="1" s="1"/>
  <c r="D33" i="1"/>
  <c r="E33" i="1" s="1"/>
  <c r="D25" i="1"/>
  <c r="E25" i="1" s="1"/>
  <c r="E60" i="1"/>
  <c r="D3" i="1"/>
  <c r="C75" i="1"/>
  <c r="C74" i="1"/>
  <c r="E87" i="1"/>
  <c r="F87" i="1" s="1"/>
  <c r="E74" i="1"/>
  <c r="D65" i="1"/>
  <c r="E65" i="1" s="1"/>
  <c r="D59" i="1"/>
  <c r="E59" i="1" s="1"/>
  <c r="D53" i="1"/>
  <c r="E53" i="1" s="1"/>
  <c r="E66" i="1"/>
  <c r="E64" i="1"/>
  <c r="E63" i="1"/>
  <c r="E58" i="1"/>
  <c r="E57" i="1"/>
  <c r="E52" i="1"/>
  <c r="E54" i="1"/>
  <c r="C62" i="1"/>
  <c r="C56" i="1"/>
  <c r="C50" i="1"/>
  <c r="D46" i="1"/>
  <c r="E46" i="1" s="1"/>
  <c r="D45" i="1"/>
  <c r="E45" i="1" s="1"/>
  <c r="D44" i="1"/>
  <c r="E44" i="1" s="1"/>
  <c r="D42" i="1"/>
  <c r="E42" i="1" s="1"/>
  <c r="D38" i="1"/>
  <c r="E38" i="1" s="1"/>
  <c r="D37" i="1"/>
  <c r="E37" i="1" s="1"/>
  <c r="D36" i="1"/>
  <c r="E36" i="1" s="1"/>
  <c r="D34" i="1"/>
  <c r="E34" i="1" s="1"/>
  <c r="D30" i="1"/>
  <c r="E30" i="1" s="1"/>
  <c r="D29" i="1"/>
  <c r="E29" i="1" s="1"/>
  <c r="D28" i="1"/>
  <c r="E28" i="1" s="1"/>
  <c r="D26" i="1"/>
  <c r="E26" i="1" s="1"/>
  <c r="C40" i="1"/>
  <c r="C32" i="1"/>
  <c r="C24" i="1"/>
  <c r="E51" i="1"/>
  <c r="E55" i="1" l="1"/>
  <c r="E67" i="1"/>
  <c r="D47" i="1"/>
  <c r="D39" i="1"/>
  <c r="E47" i="1"/>
  <c r="E39" i="1"/>
  <c r="E31" i="1"/>
  <c r="D31" i="1"/>
  <c r="E61" i="1"/>
  <c r="D48" i="1" l="1"/>
  <c r="E75" i="1"/>
  <c r="E76" i="1" s="1"/>
  <c r="E68" i="1"/>
  <c r="E48" i="1"/>
  <c r="E69" i="1" l="1"/>
  <c r="E79" i="1" l="1"/>
  <c r="E82" i="1"/>
  <c r="E84" i="1" l="1"/>
  <c r="D88" i="1" s="1"/>
  <c r="C88" i="1" l="1"/>
  <c r="E88" i="1"/>
</calcChain>
</file>

<file path=xl/sharedStrings.xml><?xml version="1.0" encoding="utf-8"?>
<sst xmlns="http://schemas.openxmlformats.org/spreadsheetml/2006/main" count="170" uniqueCount="68">
  <si>
    <t>Sämaschine 3m</t>
  </si>
  <si>
    <t>EUR</t>
  </si>
  <si>
    <t>Unterbringung</t>
  </si>
  <si>
    <t>1.</t>
  </si>
  <si>
    <t>2.</t>
  </si>
  <si>
    <t>4.</t>
  </si>
  <si>
    <t>5.</t>
  </si>
  <si>
    <t>6.</t>
  </si>
  <si>
    <t>Restwert</t>
  </si>
  <si>
    <t xml:space="preserve">© Helmut Scherzer </t>
  </si>
  <si>
    <t>Jahre</t>
  </si>
  <si>
    <t>Nutzungsdauer</t>
  </si>
  <si>
    <t xml:space="preserve">Grundmaschine: </t>
  </si>
  <si>
    <t xml:space="preserve">Maschine 1: </t>
  </si>
  <si>
    <t xml:space="preserve">Maschine 2: </t>
  </si>
  <si>
    <t xml:space="preserve">Traktor 150 PS </t>
  </si>
  <si>
    <t>Zinssatz</t>
  </si>
  <si>
    <t>h</t>
  </si>
  <si>
    <t xml:space="preserve">Jährliche Einsatzstunden </t>
  </si>
  <si>
    <t xml:space="preserve">Maschinendaten: </t>
  </si>
  <si>
    <t xml:space="preserve">Wertminderung/AFA </t>
  </si>
  <si>
    <t>Zinskosten</t>
  </si>
  <si>
    <t xml:space="preserve">Versicherung </t>
  </si>
  <si>
    <t>Gebühren/KFZ-Steuer</t>
  </si>
  <si>
    <t xml:space="preserve">jährlich </t>
  </si>
  <si>
    <t>je Stunde</t>
  </si>
  <si>
    <t>Miet- bzw. Leasingkosten</t>
  </si>
  <si>
    <t>Summe fixe Maschinenkosten</t>
  </si>
  <si>
    <t xml:space="preserve">Fixe Maschinenkosten: </t>
  </si>
  <si>
    <t xml:space="preserve">Variable Maschinenkosten: </t>
  </si>
  <si>
    <t xml:space="preserve">Sonstige Kosten </t>
  </si>
  <si>
    <t>Summe variable Maschinenkosten</t>
  </si>
  <si>
    <t>Gesamtsumme fixe Maschinenkosten</t>
  </si>
  <si>
    <t>Gesamtsumme variable Maschinenkosten</t>
  </si>
  <si>
    <t xml:space="preserve">Personalkosten Hauptzeiten (je produktiver Leistungsstunde) </t>
  </si>
  <si>
    <t xml:space="preserve">Summe Maschinenkosten Hauptzeiten (je produktiver Leistungsstunde) </t>
  </si>
  <si>
    <t>ONLINE-KALKULATOR LAND- UND FORSTWIRTSCHAFTLICHE ARBEITSVERFAHREN</t>
  </si>
  <si>
    <t>Gesamtkosten Arbeitsverfahren Hauptzeiten (produktive Leistungsstunde)</t>
  </si>
  <si>
    <t>% vom AP</t>
  </si>
  <si>
    <t>0.</t>
  </si>
  <si>
    <t>Menge</t>
  </si>
  <si>
    <t>je Einheit</t>
  </si>
  <si>
    <t>3.</t>
  </si>
  <si>
    <t>Leistungspreis</t>
  </si>
  <si>
    <t>niedrig</t>
  </si>
  <si>
    <t>hoch</t>
  </si>
  <si>
    <t>Schnitt</t>
  </si>
  <si>
    <t>Leistungspreis nach Produktivität</t>
  </si>
  <si>
    <t>Produktivzeit</t>
  </si>
  <si>
    <t>Zuschlag</t>
  </si>
  <si>
    <t>1.+2.</t>
  </si>
  <si>
    <t>Anschaffungspreis (AP)</t>
  </si>
  <si>
    <t>b) Zuschlag für Nebenzeiten - Grundmaschine</t>
  </si>
  <si>
    <t>a) Zuschlag für Nebenzeiten - Personal</t>
  </si>
  <si>
    <t>7.</t>
  </si>
  <si>
    <t>8.</t>
  </si>
  <si>
    <t>Organisations- und Unternehmenskosten</t>
  </si>
  <si>
    <t>Organisations- und Unternehmenskosten (Basis: 1+2+3)</t>
  </si>
  <si>
    <t>Kreiselegge 3m</t>
  </si>
  <si>
    <t>Schwankung</t>
  </si>
  <si>
    <t>Treibstoffe (l/h)</t>
  </si>
  <si>
    <t>Schmierstoffkosten (l/h)</t>
  </si>
  <si>
    <t xml:space="preserve">Reparaturkosten (in % vom AP/100h) </t>
  </si>
  <si>
    <t>Kosten für Nebenzeiten</t>
  </si>
  <si>
    <t>Summe Kosten für Nebenzeiten</t>
  </si>
  <si>
    <t>Kosten für Wagnis/Gewährleistung/Gewinn</t>
  </si>
  <si>
    <t>Wagnis für Wagnis/Gewährleistung/Gewinn (Basis: 1+2+3)</t>
  </si>
  <si>
    <t>Bandbreite für Leistungseinheiten (Einheiten/Std.)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</si>
</sst>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164" formatCode="0.0%"/>
    <numFmt numFmtId="165" formatCode="#,##0&quot; h&quot;"/>
    <numFmt numFmtId="166" formatCode="#,##0.0"/>
    <numFmt numFmtId="167" formatCode="0.0"/>
    <numFmt numFmtId="168" formatCode="&quot;±&quot;0%"/>
    <numFmt numFmtId="169" formatCode="&quot;Ø &quot;0.0"/>
    <numFmt numFmtId="170" formatCode="&quot;Σ:&quot;\ #,##0&quot; h&quot;"/>
  </numFmts>
  <fonts count="5" x14ac:knownFonts="1">
    <font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2" tint="-9.9978637043366805E-2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double">
        <color auto="1"/>
      </bottom>
      <diagonal/>
    </border>
  </borders>
  <cellStyleXfs count="2">
    <xf numFmtId="0" fontId="0" fillId="0" borderId="0"/>
    <xf numFmtId="9" fontId="4" fillId="0" borderId="0" applyFont="0" applyFill="0" applyBorder="0" applyAlignment="0" applyProtection="0"/>
  </cellStyleXfs>
  <cellXfs count="109">
    <xf numFmtId="0" fontId="0" fillId="0" borderId="0" xfId="0"/>
    <xf numFmtId="2" fontId="0" fillId="0" borderId="0" xfId="0" applyNumberFormat="1"/>
    <xf numFmtId="4" fontId="0" fillId="0" borderId="0" xfId="0" applyNumberFormat="1"/>
    <xf numFmtId="0" fontId="2" fillId="0" borderId="0" xfId="0" applyFont="1"/>
    <xf numFmtId="0" fontId="3" fillId="0" borderId="0" xfId="0" applyFont="1"/>
    <xf numFmtId="0" fontId="2" fillId="2" borderId="0" xfId="0" applyFont="1" applyFill="1"/>
    <xf numFmtId="49" fontId="0" fillId="0" borderId="0" xfId="0" applyNumberFormat="1" applyAlignment="1">
      <alignment horizontal="left"/>
    </xf>
    <xf numFmtId="49" fontId="2" fillId="2" borderId="0" xfId="0" applyNumberFormat="1" applyFont="1" applyFill="1" applyAlignment="1">
      <alignment horizontal="left"/>
    </xf>
    <xf numFmtId="49" fontId="2" fillId="0" borderId="0" xfId="0" applyNumberFormat="1" applyFont="1" applyAlignment="1">
      <alignment horizontal="left"/>
    </xf>
    <xf numFmtId="2" fontId="2" fillId="0" borderId="0" xfId="0" applyNumberFormat="1" applyFont="1"/>
    <xf numFmtId="0" fontId="1" fillId="0" borderId="0" xfId="0" applyFont="1"/>
    <xf numFmtId="49" fontId="3" fillId="0" borderId="0" xfId="0" applyNumberFormat="1" applyFont="1" applyAlignment="1">
      <alignment horizontal="left"/>
    </xf>
    <xf numFmtId="165" fontId="2" fillId="0" borderId="0" xfId="0" applyNumberFormat="1" applyFont="1"/>
    <xf numFmtId="4" fontId="2" fillId="0" borderId="0" xfId="0" applyNumberFormat="1" applyFont="1"/>
    <xf numFmtId="9" fontId="2" fillId="0" borderId="0" xfId="0" applyNumberFormat="1" applyFont="1"/>
    <xf numFmtId="164" fontId="2" fillId="0" borderId="0" xfId="0" applyNumberFormat="1" applyFont="1"/>
    <xf numFmtId="4" fontId="3" fillId="0" borderId="0" xfId="0" applyNumberFormat="1" applyFont="1"/>
    <xf numFmtId="2" fontId="3" fillId="0" borderId="0" xfId="0" applyNumberFormat="1" applyFont="1"/>
    <xf numFmtId="0" fontId="3" fillId="3" borderId="0" xfId="0" applyFont="1" applyFill="1"/>
    <xf numFmtId="0" fontId="2" fillId="3" borderId="0" xfId="0" applyFont="1" applyFill="1"/>
    <xf numFmtId="3" fontId="2" fillId="3" borderId="0" xfId="0" applyNumberFormat="1" applyFont="1" applyFill="1" applyProtection="1">
      <protection locked="0"/>
    </xf>
    <xf numFmtId="2" fontId="2" fillId="3" borderId="0" xfId="0" applyNumberFormat="1" applyFont="1" applyFill="1"/>
    <xf numFmtId="10" fontId="2" fillId="3" borderId="0" xfId="1" applyNumberFormat="1" applyFont="1" applyFill="1" applyBorder="1" applyProtection="1">
      <protection locked="0"/>
    </xf>
    <xf numFmtId="166" fontId="2" fillId="3" borderId="0" xfId="0" applyNumberFormat="1" applyFont="1" applyFill="1" applyProtection="1">
      <protection locked="0"/>
    </xf>
    <xf numFmtId="165" fontId="2" fillId="3" borderId="0" xfId="0" applyNumberFormat="1" applyFont="1" applyFill="1"/>
    <xf numFmtId="4" fontId="2" fillId="3" borderId="0" xfId="0" applyNumberFormat="1" applyFont="1" applyFill="1"/>
    <xf numFmtId="4" fontId="2" fillId="3" borderId="0" xfId="0" applyNumberFormat="1" applyFont="1" applyFill="1" applyProtection="1">
      <protection locked="0"/>
    </xf>
    <xf numFmtId="0" fontId="2" fillId="3" borderId="0" xfId="0" applyFont="1" applyFill="1" applyProtection="1">
      <protection locked="0"/>
    </xf>
    <xf numFmtId="2" fontId="2" fillId="3" borderId="0" xfId="0" applyNumberFormat="1" applyFont="1" applyFill="1" applyProtection="1">
      <protection locked="0"/>
    </xf>
    <xf numFmtId="2" fontId="2" fillId="3" borderId="0" xfId="1" applyNumberFormat="1" applyFont="1" applyFill="1" applyBorder="1" applyProtection="1">
      <protection locked="0"/>
    </xf>
    <xf numFmtId="0" fontId="3" fillId="4" borderId="0" xfId="0" applyFont="1" applyFill="1"/>
    <xf numFmtId="0" fontId="2" fillId="4" borderId="0" xfId="0" applyFont="1" applyFill="1"/>
    <xf numFmtId="0" fontId="3" fillId="5" borderId="0" xfId="0" applyFont="1" applyFill="1"/>
    <xf numFmtId="0" fontId="2" fillId="5" borderId="0" xfId="0" applyFont="1" applyFill="1"/>
    <xf numFmtId="3" fontId="2" fillId="5" borderId="0" xfId="0" applyNumberFormat="1" applyFont="1" applyFill="1" applyProtection="1">
      <protection locked="0"/>
    </xf>
    <xf numFmtId="2" fontId="2" fillId="5" borderId="0" xfId="0" applyNumberFormat="1" applyFont="1" applyFill="1"/>
    <xf numFmtId="10" fontId="2" fillId="5" borderId="0" xfId="1" applyNumberFormat="1" applyFont="1" applyFill="1" applyBorder="1" applyProtection="1">
      <protection locked="0"/>
    </xf>
    <xf numFmtId="166" fontId="2" fillId="5" borderId="0" xfId="0" applyNumberFormat="1" applyFont="1" applyFill="1" applyProtection="1">
      <protection locked="0"/>
    </xf>
    <xf numFmtId="165" fontId="2" fillId="5" borderId="0" xfId="0" applyNumberFormat="1" applyFont="1" applyFill="1"/>
    <xf numFmtId="4" fontId="2" fillId="5" borderId="0" xfId="0" applyNumberFormat="1" applyFont="1" applyFill="1"/>
    <xf numFmtId="4" fontId="2" fillId="5" borderId="0" xfId="0" applyNumberFormat="1" applyFont="1" applyFill="1" applyProtection="1">
      <protection locked="0"/>
    </xf>
    <xf numFmtId="0" fontId="2" fillId="5" borderId="0" xfId="0" applyFont="1" applyFill="1" applyProtection="1">
      <protection locked="0"/>
    </xf>
    <xf numFmtId="2" fontId="2" fillId="5" borderId="0" xfId="1" applyNumberFormat="1" applyFont="1" applyFill="1" applyBorder="1" applyProtection="1">
      <protection locked="0"/>
    </xf>
    <xf numFmtId="0" fontId="3" fillId="6" borderId="0" xfId="0" applyFont="1" applyFill="1"/>
    <xf numFmtId="0" fontId="2" fillId="6" borderId="0" xfId="0" applyFont="1" applyFill="1"/>
    <xf numFmtId="3" fontId="2" fillId="6" borderId="0" xfId="0" applyNumberFormat="1" applyFont="1" applyFill="1" applyProtection="1">
      <protection locked="0"/>
    </xf>
    <xf numFmtId="2" fontId="2" fillId="6" borderId="0" xfId="0" applyNumberFormat="1" applyFont="1" applyFill="1"/>
    <xf numFmtId="10" fontId="2" fillId="6" borderId="0" xfId="1" applyNumberFormat="1" applyFont="1" applyFill="1" applyBorder="1" applyProtection="1">
      <protection locked="0"/>
    </xf>
    <xf numFmtId="166" fontId="2" fillId="6" borderId="0" xfId="0" applyNumberFormat="1" applyFont="1" applyFill="1" applyProtection="1">
      <protection locked="0"/>
    </xf>
    <xf numFmtId="165" fontId="2" fillId="6" borderId="0" xfId="0" applyNumberFormat="1" applyFont="1" applyFill="1"/>
    <xf numFmtId="4" fontId="2" fillId="6" borderId="0" xfId="0" applyNumberFormat="1" applyFont="1" applyFill="1"/>
    <xf numFmtId="4" fontId="2" fillId="6" borderId="0" xfId="0" applyNumberFormat="1" applyFont="1" applyFill="1" applyProtection="1">
      <protection locked="0"/>
    </xf>
    <xf numFmtId="0" fontId="2" fillId="6" borderId="0" xfId="0" applyFont="1" applyFill="1" applyProtection="1">
      <protection locked="0"/>
    </xf>
    <xf numFmtId="2" fontId="2" fillId="6" borderId="0" xfId="0" applyNumberFormat="1" applyFont="1" applyFill="1" applyProtection="1">
      <protection locked="0"/>
    </xf>
    <xf numFmtId="2" fontId="2" fillId="6" borderId="0" xfId="1" applyNumberFormat="1" applyFont="1" applyFill="1" applyBorder="1" applyProtection="1">
      <protection locked="0"/>
    </xf>
    <xf numFmtId="49" fontId="3" fillId="2" borderId="0" xfId="0" applyNumberFormat="1" applyFont="1" applyFill="1" applyAlignment="1">
      <alignment horizontal="left"/>
    </xf>
    <xf numFmtId="0" fontId="3" fillId="2" borderId="0" xfId="0" applyFont="1" applyFill="1"/>
    <xf numFmtId="4" fontId="2" fillId="2" borderId="0" xfId="0" applyNumberFormat="1" applyFont="1" applyFill="1" applyProtection="1">
      <protection locked="0"/>
    </xf>
    <xf numFmtId="164" fontId="2" fillId="2" borderId="0" xfId="0" applyNumberFormat="1" applyFont="1" applyFill="1" applyProtection="1">
      <protection locked="0"/>
    </xf>
    <xf numFmtId="2" fontId="2" fillId="2" borderId="0" xfId="0" applyNumberFormat="1" applyFont="1" applyFill="1"/>
    <xf numFmtId="9" fontId="2" fillId="2" borderId="0" xfId="0" applyNumberFormat="1" applyFont="1" applyFill="1"/>
    <xf numFmtId="49" fontId="3" fillId="7" borderId="0" xfId="0" applyNumberFormat="1" applyFont="1" applyFill="1" applyAlignment="1">
      <alignment horizontal="left"/>
    </xf>
    <xf numFmtId="49" fontId="2" fillId="7" borderId="0" xfId="0" applyNumberFormat="1" applyFont="1" applyFill="1" applyAlignment="1">
      <alignment horizontal="left"/>
    </xf>
    <xf numFmtId="2" fontId="2" fillId="7" borderId="0" xfId="0" applyNumberFormat="1" applyFont="1" applyFill="1"/>
    <xf numFmtId="9" fontId="2" fillId="7" borderId="0" xfId="0" applyNumberFormat="1" applyFont="1" applyFill="1"/>
    <xf numFmtId="0" fontId="2" fillId="7" borderId="0" xfId="0" applyFont="1" applyFill="1"/>
    <xf numFmtId="164" fontId="2" fillId="7" borderId="0" xfId="0" applyNumberFormat="1" applyFont="1" applyFill="1" applyProtection="1">
      <protection locked="0"/>
    </xf>
    <xf numFmtId="49" fontId="3" fillId="4" borderId="0" xfId="0" applyNumberFormat="1" applyFont="1" applyFill="1" applyAlignment="1">
      <alignment horizontal="left"/>
    </xf>
    <xf numFmtId="49" fontId="2" fillId="4" borderId="0" xfId="0" applyNumberFormat="1" applyFont="1" applyFill="1" applyAlignment="1">
      <alignment horizontal="left"/>
    </xf>
    <xf numFmtId="0" fontId="3" fillId="7" borderId="0" xfId="0" applyFont="1" applyFill="1"/>
    <xf numFmtId="49" fontId="3" fillId="8" borderId="0" xfId="0" applyNumberFormat="1" applyFont="1" applyFill="1" applyAlignment="1">
      <alignment horizontal="left"/>
    </xf>
    <xf numFmtId="0" fontId="3" fillId="8" borderId="0" xfId="0" applyFont="1" applyFill="1"/>
    <xf numFmtId="4" fontId="3" fillId="8" borderId="0" xfId="0" applyNumberFormat="1" applyFont="1" applyFill="1"/>
    <xf numFmtId="0" fontId="2" fillId="8" borderId="0" xfId="0" applyFont="1" applyFill="1"/>
    <xf numFmtId="164" fontId="3" fillId="2" borderId="0" xfId="0" applyNumberFormat="1" applyFont="1" applyFill="1"/>
    <xf numFmtId="9" fontId="3" fillId="2" borderId="0" xfId="0" applyNumberFormat="1" applyFont="1" applyFill="1"/>
    <xf numFmtId="49" fontId="2" fillId="8" borderId="0" xfId="0" applyNumberFormat="1" applyFont="1" applyFill="1" applyAlignment="1">
      <alignment horizontal="left"/>
    </xf>
    <xf numFmtId="167" fontId="2" fillId="8" borderId="0" xfId="0" applyNumberFormat="1" applyFont="1" applyFill="1" applyProtection="1">
      <protection locked="0"/>
    </xf>
    <xf numFmtId="169" fontId="2" fillId="8" borderId="0" xfId="0" applyNumberFormat="1" applyFont="1" applyFill="1"/>
    <xf numFmtId="168" fontId="2" fillId="8" borderId="0" xfId="1" applyNumberFormat="1" applyFont="1" applyFill="1" applyBorder="1"/>
    <xf numFmtId="4" fontId="3" fillId="4" borderId="0" xfId="0" applyNumberFormat="1" applyFont="1" applyFill="1"/>
    <xf numFmtId="164" fontId="3" fillId="0" borderId="0" xfId="0" applyNumberFormat="1" applyFont="1"/>
    <xf numFmtId="9" fontId="3" fillId="0" borderId="0" xfId="0" applyNumberFormat="1" applyFont="1"/>
    <xf numFmtId="2" fontId="3" fillId="8" borderId="1" xfId="0" applyNumberFormat="1" applyFont="1" applyFill="1" applyBorder="1"/>
    <xf numFmtId="2" fontId="3" fillId="2" borderId="1" xfId="0" applyNumberFormat="1" applyFont="1" applyFill="1" applyBorder="1"/>
    <xf numFmtId="4" fontId="3" fillId="4" borderId="1" xfId="0" applyNumberFormat="1" applyFont="1" applyFill="1" applyBorder="1"/>
    <xf numFmtId="14" fontId="2" fillId="4" borderId="0" xfId="0" applyNumberFormat="1" applyFont="1" applyFill="1"/>
    <xf numFmtId="166" fontId="2" fillId="0" borderId="0" xfId="0" applyNumberFormat="1" applyFont="1"/>
    <xf numFmtId="0" fontId="2" fillId="4" borderId="0" xfId="0" applyFont="1" applyFill="1" applyAlignment="1">
      <alignment horizontal="left"/>
    </xf>
    <xf numFmtId="164" fontId="2" fillId="2" borderId="0" xfId="1" applyNumberFormat="1" applyFont="1" applyFill="1" applyBorder="1"/>
    <xf numFmtId="170" fontId="2" fillId="3" borderId="0" xfId="0" applyNumberFormat="1" applyFont="1" applyFill="1"/>
    <xf numFmtId="170" fontId="2" fillId="5" borderId="0" xfId="0" applyNumberFormat="1" applyFont="1" applyFill="1"/>
    <xf numFmtId="170" fontId="2" fillId="6" borderId="0" xfId="0" applyNumberFormat="1" applyFont="1" applyFill="1"/>
    <xf numFmtId="0" fontId="2" fillId="4" borderId="0" xfId="0" applyFont="1" applyFill="1" applyAlignment="1">
      <alignment horizontal="right"/>
    </xf>
    <xf numFmtId="4" fontId="2" fillId="4" borderId="0" xfId="0" applyNumberFormat="1" applyFont="1" applyFill="1" applyAlignment="1">
      <alignment horizontal="right"/>
    </xf>
    <xf numFmtId="2" fontId="2" fillId="4" borderId="0" xfId="0" applyNumberFormat="1" applyFont="1" applyFill="1" applyAlignment="1">
      <alignment horizontal="right"/>
    </xf>
    <xf numFmtId="0" fontId="2" fillId="2" borderId="0" xfId="0" applyFont="1" applyFill="1" applyAlignment="1">
      <alignment horizontal="right"/>
    </xf>
    <xf numFmtId="164" fontId="2" fillId="7" borderId="0" xfId="0" applyNumberFormat="1" applyFont="1" applyFill="1" applyAlignment="1">
      <alignment horizontal="right"/>
    </xf>
    <xf numFmtId="2" fontId="2" fillId="7" borderId="0" xfId="0" applyNumberFormat="1" applyFont="1" applyFill="1" applyAlignment="1">
      <alignment horizontal="right"/>
    </xf>
    <xf numFmtId="0" fontId="2" fillId="8" borderId="0" xfId="0" applyFont="1" applyFill="1" applyAlignment="1">
      <alignment horizontal="right"/>
    </xf>
    <xf numFmtId="4" fontId="2" fillId="8" borderId="0" xfId="0" applyNumberFormat="1" applyFont="1" applyFill="1" applyAlignment="1">
      <alignment horizontal="right"/>
    </xf>
    <xf numFmtId="2" fontId="2" fillId="8" borderId="0" xfId="0" applyNumberFormat="1" applyFont="1" applyFill="1" applyAlignment="1">
      <alignment horizontal="right"/>
    </xf>
    <xf numFmtId="49" fontId="3" fillId="6" borderId="0" xfId="0" applyNumberFormat="1" applyFont="1" applyFill="1" applyAlignment="1">
      <alignment horizontal="left"/>
    </xf>
    <xf numFmtId="49" fontId="3" fillId="3" borderId="0" xfId="0" quotePrefix="1" applyNumberFormat="1" applyFont="1" applyFill="1" applyAlignment="1" applyProtection="1">
      <alignment horizontal="left"/>
      <protection locked="0"/>
    </xf>
    <xf numFmtId="49" fontId="3" fillId="3" borderId="0" xfId="0" applyNumberFormat="1" applyFont="1" applyFill="1" applyAlignment="1" applyProtection="1">
      <alignment horizontal="left"/>
      <protection locked="0"/>
    </xf>
    <xf numFmtId="49" fontId="3" fillId="5" borderId="0" xfId="0" applyNumberFormat="1" applyFont="1" applyFill="1" applyAlignment="1" applyProtection="1">
      <alignment horizontal="left"/>
      <protection locked="0"/>
    </xf>
    <xf numFmtId="49" fontId="3" fillId="6" borderId="0" xfId="0" applyNumberFormat="1" applyFont="1" applyFill="1" applyAlignment="1" applyProtection="1">
      <alignment horizontal="left"/>
      <protection locked="0"/>
    </xf>
    <xf numFmtId="49" fontId="3" fillId="3" borderId="0" xfId="0" applyNumberFormat="1" applyFont="1" applyFill="1" applyAlignment="1">
      <alignment horizontal="left"/>
    </xf>
    <xf numFmtId="49" fontId="3" fillId="5" borderId="0" xfId="0" applyNumberFormat="1" applyFont="1" applyFill="1" applyAlignment="1">
      <alignment horizontal="left"/>
    </xf>
  </cellXfs>
  <cellStyles count="2">
    <cellStyle name="Prozent" xfId="1" builtinId="5"/>
    <cellStyle name="Standard" xfId="0" builtinId="0"/>
  </cellStyles>
  <dxfs count="2"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Tabelle1" filterMode="1">
    <pageSetUpPr fitToPage="1"/>
  </sheetPr>
  <dimension ref="A1:F89"/>
  <sheetViews>
    <sheetView tabSelected="1" zoomScaleNormal="100" workbookViewId="0">
      <selection activeCell="G6" sqref="G6"/>
    </sheetView>
  </sheetViews>
  <sheetFormatPr baseColWidth="10" defaultRowHeight="14.25" x14ac:dyDescent="0.45"/>
  <cols>
    <col min="1" max="1" width="5.1328125" style="6" bestFit="1" customWidth="1"/>
    <col min="2" max="2" width="46.46484375" customWidth="1"/>
    <col min="3" max="3" width="12.3984375" customWidth="1"/>
    <col min="4" max="4" width="12.3984375" style="2" customWidth="1"/>
    <col min="5" max="5" width="12.3984375" style="1" customWidth="1"/>
    <col min="6" max="6" width="12.3984375" customWidth="1"/>
  </cols>
  <sheetData>
    <row r="1" spans="1:6" ht="20.25" customHeight="1" x14ac:dyDescent="0.55000000000000004">
      <c r="B1" s="10" t="s">
        <v>36</v>
      </c>
    </row>
    <row r="2" spans="1:6" ht="13.5" customHeight="1" x14ac:dyDescent="0.55000000000000004">
      <c r="B2" s="10"/>
    </row>
    <row r="3" spans="1:6" s="3" customFormat="1" ht="15.75" customHeight="1" x14ac:dyDescent="0.5">
      <c r="A3" s="67" t="s">
        <v>39</v>
      </c>
      <c r="B3" s="30" t="s">
        <v>19</v>
      </c>
      <c r="C3" s="31"/>
      <c r="D3" s="86">
        <f ca="1">TODAY()</f>
        <v>46054</v>
      </c>
      <c r="E3" s="31" t="s">
        <v>9</v>
      </c>
      <c r="F3" s="31"/>
    </row>
    <row r="4" spans="1:6" s="3" customFormat="1" ht="15.75" customHeight="1" x14ac:dyDescent="0.5">
      <c r="A4" s="88"/>
      <c r="B4" s="18" t="s">
        <v>12</v>
      </c>
      <c r="C4" s="103" t="s">
        <v>15</v>
      </c>
      <c r="D4" s="104"/>
      <c r="E4" s="104"/>
      <c r="F4" s="104"/>
    </row>
    <row r="5" spans="1:6" s="3" customFormat="1" ht="15.75" customHeight="1" x14ac:dyDescent="0.5">
      <c r="A5" s="88"/>
      <c r="B5" s="19" t="s">
        <v>51</v>
      </c>
      <c r="C5" s="19"/>
      <c r="D5" s="20">
        <v>150000</v>
      </c>
      <c r="E5" s="21" t="s">
        <v>1</v>
      </c>
      <c r="F5" s="19"/>
    </row>
    <row r="6" spans="1:6" s="3" customFormat="1" ht="15.75" customHeight="1" x14ac:dyDescent="0.5">
      <c r="A6" s="88"/>
      <c r="B6" s="19" t="s">
        <v>8</v>
      </c>
      <c r="C6" s="19"/>
      <c r="D6" s="20">
        <v>75000</v>
      </c>
      <c r="E6" s="21" t="s">
        <v>1</v>
      </c>
      <c r="F6" s="19"/>
    </row>
    <row r="7" spans="1:6" s="3" customFormat="1" ht="15.75" customHeight="1" x14ac:dyDescent="0.5">
      <c r="A7" s="88"/>
      <c r="B7" s="19" t="s">
        <v>16</v>
      </c>
      <c r="C7" s="19"/>
      <c r="D7" s="22">
        <v>0.03</v>
      </c>
      <c r="E7" s="21"/>
      <c r="F7" s="19"/>
    </row>
    <row r="8" spans="1:6" s="3" customFormat="1" ht="15.75" customHeight="1" x14ac:dyDescent="0.5">
      <c r="A8" s="88"/>
      <c r="B8" s="19" t="s">
        <v>18</v>
      </c>
      <c r="C8" s="19"/>
      <c r="D8" s="23">
        <v>900</v>
      </c>
      <c r="E8" s="21" t="s">
        <v>17</v>
      </c>
      <c r="F8" s="90">
        <f>D9*D8</f>
        <v>10800</v>
      </c>
    </row>
    <row r="9" spans="1:6" s="3" customFormat="1" ht="15.75" customHeight="1" x14ac:dyDescent="0.5">
      <c r="A9" s="88"/>
      <c r="B9" s="19" t="s">
        <v>11</v>
      </c>
      <c r="C9" s="19"/>
      <c r="D9" s="23">
        <v>12</v>
      </c>
      <c r="E9" s="21" t="s">
        <v>10</v>
      </c>
      <c r="F9" s="24"/>
    </row>
    <row r="10" spans="1:6" s="3" customFormat="1" ht="15.75" customHeight="1" x14ac:dyDescent="0.5">
      <c r="A10" s="88"/>
      <c r="B10" s="32" t="s">
        <v>13</v>
      </c>
      <c r="C10" s="105" t="s">
        <v>58</v>
      </c>
      <c r="D10" s="105"/>
      <c r="E10" s="105"/>
      <c r="F10" s="105"/>
    </row>
    <row r="11" spans="1:6" s="3" customFormat="1" ht="15.75" customHeight="1" x14ac:dyDescent="0.5">
      <c r="A11" s="88" t="str">
        <f>IF(ISBLANK(M1_Name),NA(),"")</f>
        <v/>
      </c>
      <c r="B11" s="33" t="s">
        <v>51</v>
      </c>
      <c r="C11" s="33"/>
      <c r="D11" s="34">
        <v>20000</v>
      </c>
      <c r="E11" s="35" t="s">
        <v>1</v>
      </c>
      <c r="F11" s="33"/>
    </row>
    <row r="12" spans="1:6" s="3" customFormat="1" ht="15.75" customHeight="1" x14ac:dyDescent="0.5">
      <c r="A12" s="88" t="str">
        <f>IF(ISBLANK(M1_Name),NA(),"")</f>
        <v/>
      </c>
      <c r="B12" s="33" t="s">
        <v>8</v>
      </c>
      <c r="C12" s="33"/>
      <c r="D12" s="34">
        <v>8000</v>
      </c>
      <c r="E12" s="35" t="s">
        <v>1</v>
      </c>
      <c r="F12" s="33"/>
    </row>
    <row r="13" spans="1:6" s="3" customFormat="1" ht="15.75" customHeight="1" x14ac:dyDescent="0.5">
      <c r="A13" s="88" t="str">
        <f>IF(ISBLANK(M1_Name),NA(),"")</f>
        <v/>
      </c>
      <c r="B13" s="33" t="s">
        <v>16</v>
      </c>
      <c r="C13" s="33"/>
      <c r="D13" s="36">
        <v>0.02</v>
      </c>
      <c r="E13" s="35"/>
      <c r="F13" s="33"/>
    </row>
    <row r="14" spans="1:6" s="3" customFormat="1" ht="15.75" customHeight="1" x14ac:dyDescent="0.5">
      <c r="A14" s="88" t="str">
        <f>IF(ISBLANK(M1_Name),NA(),"")</f>
        <v/>
      </c>
      <c r="B14" s="33" t="s">
        <v>18</v>
      </c>
      <c r="C14" s="33"/>
      <c r="D14" s="37">
        <v>80</v>
      </c>
      <c r="E14" s="35" t="s">
        <v>17</v>
      </c>
      <c r="F14" s="91">
        <f>D15*D14</f>
        <v>1600</v>
      </c>
    </row>
    <row r="15" spans="1:6" s="3" customFormat="1" ht="15.75" customHeight="1" x14ac:dyDescent="0.5">
      <c r="A15" s="88" t="str">
        <f>IF(ISBLANK(M1_Name),NA(),"")</f>
        <v/>
      </c>
      <c r="B15" s="33" t="s">
        <v>11</v>
      </c>
      <c r="C15" s="33"/>
      <c r="D15" s="37">
        <v>20</v>
      </c>
      <c r="E15" s="35" t="s">
        <v>10</v>
      </c>
      <c r="F15" s="38"/>
    </row>
    <row r="16" spans="1:6" s="3" customFormat="1" ht="15.75" customHeight="1" x14ac:dyDescent="0.5">
      <c r="A16" s="88"/>
      <c r="B16" s="43" t="s">
        <v>14</v>
      </c>
      <c r="C16" s="106" t="s">
        <v>0</v>
      </c>
      <c r="D16" s="106"/>
      <c r="E16" s="106"/>
      <c r="F16" s="106"/>
    </row>
    <row r="17" spans="1:6" s="3" customFormat="1" ht="15.75" customHeight="1" x14ac:dyDescent="0.5">
      <c r="A17" s="88" t="str">
        <f>IF(ISBLANK(M2_Name),NA(),"")</f>
        <v/>
      </c>
      <c r="B17" s="44" t="s">
        <v>51</v>
      </c>
      <c r="C17" s="44"/>
      <c r="D17" s="45">
        <v>18000</v>
      </c>
      <c r="E17" s="46" t="s">
        <v>1</v>
      </c>
      <c r="F17" s="44"/>
    </row>
    <row r="18" spans="1:6" s="3" customFormat="1" ht="15.75" customHeight="1" x14ac:dyDescent="0.5">
      <c r="A18" s="88" t="str">
        <f>IF(ISBLANK(M2_Name),NA(),"")</f>
        <v/>
      </c>
      <c r="B18" s="44" t="s">
        <v>8</v>
      </c>
      <c r="C18" s="44"/>
      <c r="D18" s="45">
        <v>8000</v>
      </c>
      <c r="E18" s="46" t="s">
        <v>1</v>
      </c>
      <c r="F18" s="44"/>
    </row>
    <row r="19" spans="1:6" s="3" customFormat="1" ht="15.75" customHeight="1" x14ac:dyDescent="0.5">
      <c r="A19" s="88" t="str">
        <f>IF(ISBLANK(M2_Name),NA(),"")</f>
        <v/>
      </c>
      <c r="B19" s="44" t="s">
        <v>16</v>
      </c>
      <c r="C19" s="44"/>
      <c r="D19" s="47">
        <v>0.02</v>
      </c>
      <c r="E19" s="46"/>
      <c r="F19" s="44"/>
    </row>
    <row r="20" spans="1:6" s="3" customFormat="1" ht="15.75" customHeight="1" x14ac:dyDescent="0.5">
      <c r="A20" s="88" t="str">
        <f>IF(ISBLANK(M2_Name),NA(),"")</f>
        <v/>
      </c>
      <c r="B20" s="44" t="s">
        <v>18</v>
      </c>
      <c r="C20" s="44"/>
      <c r="D20" s="48">
        <v>50</v>
      </c>
      <c r="E20" s="46" t="s">
        <v>17</v>
      </c>
      <c r="F20" s="92">
        <f>D21*D20</f>
        <v>1000</v>
      </c>
    </row>
    <row r="21" spans="1:6" s="3" customFormat="1" ht="15.75" customHeight="1" x14ac:dyDescent="0.5">
      <c r="A21" s="88" t="str">
        <f>IF(ISBLANK(M2_Name),NA(),"")</f>
        <v/>
      </c>
      <c r="B21" s="44" t="s">
        <v>11</v>
      </c>
      <c r="C21" s="44"/>
      <c r="D21" s="48">
        <v>20</v>
      </c>
      <c r="E21" s="46" t="s">
        <v>10</v>
      </c>
      <c r="F21" s="49"/>
    </row>
    <row r="22" spans="1:6" s="3" customFormat="1" ht="15.75" customHeight="1" x14ac:dyDescent="0.5">
      <c r="A22" s="8"/>
      <c r="C22" s="12"/>
      <c r="D22" s="87"/>
      <c r="E22" s="9"/>
    </row>
    <row r="23" spans="1:6" s="3" customFormat="1" ht="15.75" customHeight="1" x14ac:dyDescent="0.5">
      <c r="A23" s="67" t="s">
        <v>3</v>
      </c>
      <c r="B23" s="30" t="s">
        <v>28</v>
      </c>
      <c r="C23" s="93" t="s">
        <v>38</v>
      </c>
      <c r="D23" s="94" t="s">
        <v>24</v>
      </c>
      <c r="E23" s="95" t="s">
        <v>25</v>
      </c>
      <c r="F23" s="31"/>
    </row>
    <row r="24" spans="1:6" s="3" customFormat="1" ht="15.75" customHeight="1" x14ac:dyDescent="0.5">
      <c r="A24" s="68"/>
      <c r="B24" s="18" t="s">
        <v>12</v>
      </c>
      <c r="C24" s="107" t="str">
        <f>GM_Name</f>
        <v xml:space="preserve">Traktor 150 PS </v>
      </c>
      <c r="D24" s="107"/>
      <c r="E24" s="107"/>
      <c r="F24" s="107"/>
    </row>
    <row r="25" spans="1:6" s="3" customFormat="1" ht="15.75" customHeight="1" x14ac:dyDescent="0.5">
      <c r="A25" s="68"/>
      <c r="B25" s="19" t="s">
        <v>20</v>
      </c>
      <c r="C25" s="19"/>
      <c r="D25" s="25">
        <f>IF(GM_Nutzungsdauer=0,0,(GM_Anschaffungspreis-GM_Restwert)/GM_Nutzungsdauer)</f>
        <v>6250</v>
      </c>
      <c r="E25" s="25">
        <f t="shared" ref="E25:E30" si="0">IF(GM_Jahresstunden=0,0,D25/GM_Jahresstunden)</f>
        <v>6.9444444444444446</v>
      </c>
      <c r="F25" s="19" t="s">
        <v>1</v>
      </c>
    </row>
    <row r="26" spans="1:6" s="3" customFormat="1" ht="15.75" customHeight="1" x14ac:dyDescent="0.5">
      <c r="A26" s="68"/>
      <c r="B26" s="19" t="s">
        <v>21</v>
      </c>
      <c r="C26" s="19"/>
      <c r="D26" s="25">
        <f>(GM_Anschaffungspreis+GM_Restwert)/2*GM_Zinssatz</f>
        <v>3375</v>
      </c>
      <c r="E26" s="25">
        <f t="shared" si="0"/>
        <v>3.75</v>
      </c>
      <c r="F26" s="19" t="s">
        <v>1</v>
      </c>
    </row>
    <row r="27" spans="1:6" s="3" customFormat="1" ht="15.75" customHeight="1" x14ac:dyDescent="0.5">
      <c r="A27" s="68"/>
      <c r="B27" s="19" t="s">
        <v>26</v>
      </c>
      <c r="C27" s="19"/>
      <c r="D27" s="26">
        <v>0</v>
      </c>
      <c r="E27" s="25">
        <f t="shared" si="0"/>
        <v>0</v>
      </c>
      <c r="F27" s="19" t="s">
        <v>1</v>
      </c>
    </row>
    <row r="28" spans="1:6" s="3" customFormat="1" ht="15.75" customHeight="1" x14ac:dyDescent="0.5">
      <c r="A28" s="68"/>
      <c r="B28" s="19" t="s">
        <v>23</v>
      </c>
      <c r="C28" s="22">
        <v>1E-3</v>
      </c>
      <c r="D28" s="25">
        <f>C28*GM_Anschaffungspreis</f>
        <v>150</v>
      </c>
      <c r="E28" s="25">
        <f t="shared" si="0"/>
        <v>0.16666666666666666</v>
      </c>
      <c r="F28" s="19" t="s">
        <v>1</v>
      </c>
    </row>
    <row r="29" spans="1:6" s="3" customFormat="1" ht="15.75" customHeight="1" x14ac:dyDescent="0.5">
      <c r="A29" s="68"/>
      <c r="B29" s="19" t="s">
        <v>22</v>
      </c>
      <c r="C29" s="22">
        <v>3.0000000000000001E-3</v>
      </c>
      <c r="D29" s="25">
        <f>C29*GM_Anschaffungspreis</f>
        <v>450</v>
      </c>
      <c r="E29" s="25">
        <f t="shared" si="0"/>
        <v>0.5</v>
      </c>
      <c r="F29" s="19" t="s">
        <v>1</v>
      </c>
    </row>
    <row r="30" spans="1:6" s="3" customFormat="1" ht="15.75" customHeight="1" x14ac:dyDescent="0.5">
      <c r="A30" s="68"/>
      <c r="B30" s="19" t="s">
        <v>2</v>
      </c>
      <c r="C30" s="22">
        <v>5.0000000000000001E-3</v>
      </c>
      <c r="D30" s="25">
        <f>C30*GM_Anschaffungspreis</f>
        <v>750</v>
      </c>
      <c r="E30" s="25">
        <f t="shared" si="0"/>
        <v>0.83333333333333337</v>
      </c>
      <c r="F30" s="19" t="s">
        <v>1</v>
      </c>
    </row>
    <row r="31" spans="1:6" s="3" customFormat="1" ht="15.75" customHeight="1" x14ac:dyDescent="0.5">
      <c r="A31" s="68"/>
      <c r="B31" s="19" t="s">
        <v>27</v>
      </c>
      <c r="C31" s="19"/>
      <c r="D31" s="25">
        <f>SUM(D25:D30)</f>
        <v>10975</v>
      </c>
      <c r="E31" s="25">
        <f>SUM(E25:E30)</f>
        <v>12.194444444444445</v>
      </c>
      <c r="F31" s="19" t="s">
        <v>1</v>
      </c>
    </row>
    <row r="32" spans="1:6" s="3" customFormat="1" ht="15.75" customHeight="1" x14ac:dyDescent="0.5">
      <c r="A32" s="88" t="str">
        <f t="shared" ref="A32:A39" si="1">IF(ISBLANK(M1_Name),NA(),"")</f>
        <v/>
      </c>
      <c r="B32" s="32" t="s">
        <v>13</v>
      </c>
      <c r="C32" s="108" t="str">
        <f>M1_Name</f>
        <v>Kreiselegge 3m</v>
      </c>
      <c r="D32" s="108"/>
      <c r="E32" s="108"/>
      <c r="F32" s="108"/>
    </row>
    <row r="33" spans="1:6" s="3" customFormat="1" ht="15.75" customHeight="1" x14ac:dyDescent="0.5">
      <c r="A33" s="88" t="str">
        <f t="shared" si="1"/>
        <v/>
      </c>
      <c r="B33" s="33" t="s">
        <v>20</v>
      </c>
      <c r="C33" s="33"/>
      <c r="D33" s="39">
        <f>IF(M1_Nutzungsdauer=0,0,(M1_Anschaffungspreis-M1_Restwert)/M1_Nutzungsdauer)</f>
        <v>600</v>
      </c>
      <c r="E33" s="39">
        <f t="shared" ref="E33:E38" si="2">IF(M1_Jahresstunden=0,0,D33/M1_Jahresstunden)</f>
        <v>7.5</v>
      </c>
      <c r="F33" s="33" t="s">
        <v>1</v>
      </c>
    </row>
    <row r="34" spans="1:6" s="3" customFormat="1" ht="15.75" customHeight="1" x14ac:dyDescent="0.5">
      <c r="A34" s="88" t="str">
        <f t="shared" si="1"/>
        <v/>
      </c>
      <c r="B34" s="33" t="s">
        <v>21</v>
      </c>
      <c r="C34" s="33"/>
      <c r="D34" s="39">
        <f>(M1_Anschaffungspreis+M1_Restwert)/2*M1_Zinssatz</f>
        <v>280</v>
      </c>
      <c r="E34" s="39">
        <f t="shared" si="2"/>
        <v>3.5</v>
      </c>
      <c r="F34" s="33" t="s">
        <v>1</v>
      </c>
    </row>
    <row r="35" spans="1:6" s="3" customFormat="1" ht="15.75" customHeight="1" x14ac:dyDescent="0.5">
      <c r="A35" s="88" t="str">
        <f t="shared" si="1"/>
        <v/>
      </c>
      <c r="B35" s="33" t="s">
        <v>26</v>
      </c>
      <c r="C35" s="33"/>
      <c r="D35" s="40">
        <v>0</v>
      </c>
      <c r="E35" s="39">
        <f t="shared" si="2"/>
        <v>0</v>
      </c>
      <c r="F35" s="33" t="s">
        <v>1</v>
      </c>
    </row>
    <row r="36" spans="1:6" s="3" customFormat="1" ht="15.75" customHeight="1" x14ac:dyDescent="0.5">
      <c r="A36" s="88" t="str">
        <f t="shared" si="1"/>
        <v/>
      </c>
      <c r="B36" s="33" t="s">
        <v>23</v>
      </c>
      <c r="C36" s="36">
        <v>1E-3</v>
      </c>
      <c r="D36" s="39">
        <f>C36*M1_Anschaffungspreis</f>
        <v>20</v>
      </c>
      <c r="E36" s="39">
        <f t="shared" si="2"/>
        <v>0.25</v>
      </c>
      <c r="F36" s="33" t="s">
        <v>1</v>
      </c>
    </row>
    <row r="37" spans="1:6" s="3" customFormat="1" ht="15.75" customHeight="1" x14ac:dyDescent="0.5">
      <c r="A37" s="88" t="str">
        <f t="shared" si="1"/>
        <v/>
      </c>
      <c r="B37" s="33" t="s">
        <v>22</v>
      </c>
      <c r="C37" s="36">
        <v>3.0000000000000001E-3</v>
      </c>
      <c r="D37" s="39">
        <f>C37*M1_Anschaffungspreis</f>
        <v>60</v>
      </c>
      <c r="E37" s="39">
        <f t="shared" si="2"/>
        <v>0.75</v>
      </c>
      <c r="F37" s="33" t="s">
        <v>1</v>
      </c>
    </row>
    <row r="38" spans="1:6" s="3" customFormat="1" ht="15.75" customHeight="1" x14ac:dyDescent="0.5">
      <c r="A38" s="88" t="str">
        <f t="shared" si="1"/>
        <v/>
      </c>
      <c r="B38" s="33" t="s">
        <v>2</v>
      </c>
      <c r="C38" s="36">
        <v>5.0000000000000001E-3</v>
      </c>
      <c r="D38" s="39">
        <f>C38*M1_Anschaffungspreis</f>
        <v>100</v>
      </c>
      <c r="E38" s="39">
        <f t="shared" si="2"/>
        <v>1.25</v>
      </c>
      <c r="F38" s="33" t="s">
        <v>1</v>
      </c>
    </row>
    <row r="39" spans="1:6" s="3" customFormat="1" ht="15.75" customHeight="1" x14ac:dyDescent="0.5">
      <c r="A39" s="88" t="str">
        <f t="shared" si="1"/>
        <v/>
      </c>
      <c r="B39" s="33" t="s">
        <v>27</v>
      </c>
      <c r="C39" s="33"/>
      <c r="D39" s="39">
        <f>SUM(D33:D38)</f>
        <v>1060</v>
      </c>
      <c r="E39" s="39">
        <f>SUM(E33:E38)</f>
        <v>13.25</v>
      </c>
      <c r="F39" s="33" t="s">
        <v>1</v>
      </c>
    </row>
    <row r="40" spans="1:6" s="3" customFormat="1" ht="15.75" customHeight="1" x14ac:dyDescent="0.5">
      <c r="A40" s="88" t="str">
        <f t="shared" ref="A40:A47" si="3">IF(ISBLANK(M2_Name),NA(),"")</f>
        <v/>
      </c>
      <c r="B40" s="43" t="s">
        <v>14</v>
      </c>
      <c r="C40" s="102" t="str">
        <f>M2_Name</f>
        <v>Sämaschine 3m</v>
      </c>
      <c r="D40" s="102"/>
      <c r="E40" s="102"/>
      <c r="F40" s="102"/>
    </row>
    <row r="41" spans="1:6" s="3" customFormat="1" ht="15.75" customHeight="1" x14ac:dyDescent="0.5">
      <c r="A41" s="88" t="str">
        <f t="shared" si="3"/>
        <v/>
      </c>
      <c r="B41" s="44" t="s">
        <v>20</v>
      </c>
      <c r="C41" s="44"/>
      <c r="D41" s="50">
        <f>IF(M2_Nutzungsdauer=0,0,(M2_Anschaffungspreis-M2_Restwert)/M2_Nutzungsdauer)</f>
        <v>500</v>
      </c>
      <c r="E41" s="50">
        <f t="shared" ref="E41:E46" si="4">IF(M2_Jahresstunden=0,0,D41/M2_Jahresstunden)</f>
        <v>10</v>
      </c>
      <c r="F41" s="44" t="s">
        <v>1</v>
      </c>
    </row>
    <row r="42" spans="1:6" s="3" customFormat="1" ht="15.75" customHeight="1" x14ac:dyDescent="0.5">
      <c r="A42" s="88" t="str">
        <f t="shared" si="3"/>
        <v/>
      </c>
      <c r="B42" s="44" t="s">
        <v>21</v>
      </c>
      <c r="C42" s="44"/>
      <c r="D42" s="50">
        <f>(M2_Anschaffungspreis+M2_Restwert)/2*M2_Zinssatz</f>
        <v>260</v>
      </c>
      <c r="E42" s="50">
        <f t="shared" si="4"/>
        <v>5.2</v>
      </c>
      <c r="F42" s="44" t="s">
        <v>1</v>
      </c>
    </row>
    <row r="43" spans="1:6" s="3" customFormat="1" ht="15.75" customHeight="1" x14ac:dyDescent="0.5">
      <c r="A43" s="88" t="str">
        <f t="shared" si="3"/>
        <v/>
      </c>
      <c r="B43" s="44" t="s">
        <v>26</v>
      </c>
      <c r="C43" s="44"/>
      <c r="D43" s="51">
        <v>0</v>
      </c>
      <c r="E43" s="50">
        <f t="shared" si="4"/>
        <v>0</v>
      </c>
      <c r="F43" s="44" t="s">
        <v>1</v>
      </c>
    </row>
    <row r="44" spans="1:6" s="3" customFormat="1" ht="15.75" customHeight="1" x14ac:dyDescent="0.5">
      <c r="A44" s="88" t="str">
        <f t="shared" si="3"/>
        <v/>
      </c>
      <c r="B44" s="44" t="s">
        <v>23</v>
      </c>
      <c r="C44" s="47">
        <v>1E-3</v>
      </c>
      <c r="D44" s="50">
        <f>C44*M2_Anschaffungspreis</f>
        <v>18</v>
      </c>
      <c r="E44" s="50">
        <f t="shared" si="4"/>
        <v>0.36</v>
      </c>
      <c r="F44" s="44" t="s">
        <v>1</v>
      </c>
    </row>
    <row r="45" spans="1:6" s="3" customFormat="1" ht="15.75" customHeight="1" x14ac:dyDescent="0.5">
      <c r="A45" s="88" t="str">
        <f t="shared" si="3"/>
        <v/>
      </c>
      <c r="B45" s="44" t="s">
        <v>22</v>
      </c>
      <c r="C45" s="47">
        <v>3.0000000000000001E-3</v>
      </c>
      <c r="D45" s="50">
        <f>C45*M2_Anschaffungspreis</f>
        <v>54</v>
      </c>
      <c r="E45" s="50">
        <f t="shared" si="4"/>
        <v>1.08</v>
      </c>
      <c r="F45" s="44" t="s">
        <v>1</v>
      </c>
    </row>
    <row r="46" spans="1:6" s="3" customFormat="1" ht="15.75" customHeight="1" x14ac:dyDescent="0.5">
      <c r="A46" s="88" t="str">
        <f t="shared" si="3"/>
        <v/>
      </c>
      <c r="B46" s="44" t="s">
        <v>2</v>
      </c>
      <c r="C46" s="47">
        <v>5.0000000000000001E-3</v>
      </c>
      <c r="D46" s="50">
        <f>C46*M2_Anschaffungspreis</f>
        <v>90</v>
      </c>
      <c r="E46" s="50">
        <f t="shared" si="4"/>
        <v>1.8</v>
      </c>
      <c r="F46" s="44" t="s">
        <v>1</v>
      </c>
    </row>
    <row r="47" spans="1:6" s="3" customFormat="1" ht="15.75" customHeight="1" x14ac:dyDescent="0.5">
      <c r="A47" s="88" t="str">
        <f t="shared" si="3"/>
        <v/>
      </c>
      <c r="B47" s="44" t="s">
        <v>27</v>
      </c>
      <c r="C47" s="44"/>
      <c r="D47" s="50">
        <f>SUM(D41:D46)</f>
        <v>922</v>
      </c>
      <c r="E47" s="50">
        <f>SUM(E41:E46)</f>
        <v>18.440000000000001</v>
      </c>
      <c r="F47" s="44" t="s">
        <v>1</v>
      </c>
    </row>
    <row r="48" spans="1:6" s="4" customFormat="1" ht="15.75" customHeight="1" thickBot="1" x14ac:dyDescent="0.55000000000000004">
      <c r="A48" s="67"/>
      <c r="B48" s="30" t="s">
        <v>32</v>
      </c>
      <c r="C48" s="30"/>
      <c r="D48" s="80">
        <f>D31+D39+D47</f>
        <v>12957</v>
      </c>
      <c r="E48" s="85">
        <f>E31+E39+E47</f>
        <v>43.884444444444441</v>
      </c>
      <c r="F48" s="30" t="s">
        <v>1</v>
      </c>
    </row>
    <row r="49" spans="1:6" s="3" customFormat="1" ht="15.75" customHeight="1" thickTop="1" x14ac:dyDescent="0.5">
      <c r="A49" s="67" t="s">
        <v>4</v>
      </c>
      <c r="B49" s="30" t="s">
        <v>29</v>
      </c>
      <c r="C49" s="93" t="s">
        <v>40</v>
      </c>
      <c r="D49" s="94" t="s">
        <v>41</v>
      </c>
      <c r="E49" s="94" t="s">
        <v>25</v>
      </c>
      <c r="F49" s="31"/>
    </row>
    <row r="50" spans="1:6" s="3" customFormat="1" ht="15.75" customHeight="1" x14ac:dyDescent="0.5">
      <c r="A50" s="68"/>
      <c r="B50" s="18" t="s">
        <v>12</v>
      </c>
      <c r="C50" s="107" t="str">
        <f>GM_Name</f>
        <v xml:space="preserve">Traktor 150 PS </v>
      </c>
      <c r="D50" s="107"/>
      <c r="E50" s="107"/>
      <c r="F50" s="107"/>
    </row>
    <row r="51" spans="1:6" s="3" customFormat="1" ht="15.75" customHeight="1" x14ac:dyDescent="0.5">
      <c r="A51" s="68"/>
      <c r="B51" s="19" t="s">
        <v>60</v>
      </c>
      <c r="C51" s="27">
        <v>15</v>
      </c>
      <c r="D51" s="26">
        <v>1.5</v>
      </c>
      <c r="E51" s="25">
        <f>C51*D51</f>
        <v>22.5</v>
      </c>
      <c r="F51" s="19" t="s">
        <v>1</v>
      </c>
    </row>
    <row r="52" spans="1:6" s="3" customFormat="1" ht="15.75" customHeight="1" x14ac:dyDescent="0.5">
      <c r="A52" s="68"/>
      <c r="B52" s="19" t="s">
        <v>61</v>
      </c>
      <c r="C52" s="27">
        <v>0.2</v>
      </c>
      <c r="D52" s="28">
        <v>4</v>
      </c>
      <c r="E52" s="25">
        <f t="shared" ref="E52:E54" si="5">C52*D52</f>
        <v>0.8</v>
      </c>
      <c r="F52" s="19" t="s">
        <v>1</v>
      </c>
    </row>
    <row r="53" spans="1:6" s="3" customFormat="1" ht="15.75" customHeight="1" x14ac:dyDescent="0.5">
      <c r="A53" s="68"/>
      <c r="B53" s="19" t="s">
        <v>62</v>
      </c>
      <c r="C53" s="29">
        <v>0.7</v>
      </c>
      <c r="D53" s="21">
        <f>GM_Anschaffungspreis/100/100</f>
        <v>15</v>
      </c>
      <c r="E53" s="25">
        <f>C53*D53</f>
        <v>10.5</v>
      </c>
      <c r="F53" s="19" t="s">
        <v>1</v>
      </c>
    </row>
    <row r="54" spans="1:6" s="3" customFormat="1" ht="15.75" customHeight="1" x14ac:dyDescent="0.5">
      <c r="A54" s="68"/>
      <c r="B54" s="19" t="s">
        <v>30</v>
      </c>
      <c r="C54" s="27">
        <v>0</v>
      </c>
      <c r="D54" s="28">
        <v>1</v>
      </c>
      <c r="E54" s="25">
        <f t="shared" si="5"/>
        <v>0</v>
      </c>
      <c r="F54" s="19" t="s">
        <v>1</v>
      </c>
    </row>
    <row r="55" spans="1:6" s="3" customFormat="1" ht="15.75" customHeight="1" x14ac:dyDescent="0.5">
      <c r="A55" s="68"/>
      <c r="B55" s="19" t="s">
        <v>31</v>
      </c>
      <c r="C55" s="19"/>
      <c r="D55" s="25"/>
      <c r="E55" s="25">
        <f>SUM(E51:E54)</f>
        <v>33.799999999999997</v>
      </c>
      <c r="F55" s="19" t="s">
        <v>1</v>
      </c>
    </row>
    <row r="56" spans="1:6" s="3" customFormat="1" ht="15.75" customHeight="1" x14ac:dyDescent="0.5">
      <c r="A56" s="88" t="str">
        <f t="shared" ref="A56:A61" si="6">IF(ISBLANK(M1_Name),NA(),"")</f>
        <v/>
      </c>
      <c r="B56" s="32" t="s">
        <v>13</v>
      </c>
      <c r="C56" s="108" t="str">
        <f>M1_Name</f>
        <v>Kreiselegge 3m</v>
      </c>
      <c r="D56" s="108"/>
      <c r="E56" s="108"/>
      <c r="F56" s="108"/>
    </row>
    <row r="57" spans="1:6" s="3" customFormat="1" ht="15.75" customHeight="1" x14ac:dyDescent="0.5">
      <c r="A57" s="88" t="str">
        <f t="shared" si="6"/>
        <v/>
      </c>
      <c r="B57" s="33" t="s">
        <v>60</v>
      </c>
      <c r="C57" s="41">
        <v>0</v>
      </c>
      <c r="D57" s="40">
        <v>1.5</v>
      </c>
      <c r="E57" s="39">
        <f>C57*D57</f>
        <v>0</v>
      </c>
      <c r="F57" s="33" t="s">
        <v>1</v>
      </c>
    </row>
    <row r="58" spans="1:6" s="3" customFormat="1" ht="15.75" customHeight="1" x14ac:dyDescent="0.5">
      <c r="A58" s="88" t="str">
        <f t="shared" si="6"/>
        <v/>
      </c>
      <c r="B58" s="33" t="s">
        <v>61</v>
      </c>
      <c r="C58" s="41">
        <v>0.2</v>
      </c>
      <c r="D58" s="40">
        <v>4</v>
      </c>
      <c r="E58" s="39">
        <f t="shared" ref="E58:E60" si="7">C58*D58</f>
        <v>0.8</v>
      </c>
      <c r="F58" s="33" t="s">
        <v>1</v>
      </c>
    </row>
    <row r="59" spans="1:6" s="3" customFormat="1" ht="15.75" customHeight="1" x14ac:dyDescent="0.5">
      <c r="A59" s="88" t="str">
        <f t="shared" si="6"/>
        <v/>
      </c>
      <c r="B59" s="33" t="s">
        <v>62</v>
      </c>
      <c r="C59" s="42">
        <v>0.7</v>
      </c>
      <c r="D59" s="39">
        <f>M1_Anschaffungspreis/100/100</f>
        <v>2</v>
      </c>
      <c r="E59" s="39">
        <f>C59*D59</f>
        <v>1.4</v>
      </c>
      <c r="F59" s="33" t="s">
        <v>1</v>
      </c>
    </row>
    <row r="60" spans="1:6" s="3" customFormat="1" ht="15.75" customHeight="1" x14ac:dyDescent="0.5">
      <c r="A60" s="88" t="str">
        <f t="shared" si="6"/>
        <v/>
      </c>
      <c r="B60" s="33" t="s">
        <v>30</v>
      </c>
      <c r="C60" s="41">
        <v>0</v>
      </c>
      <c r="D60" s="40">
        <v>1</v>
      </c>
      <c r="E60" s="39">
        <f t="shared" si="7"/>
        <v>0</v>
      </c>
      <c r="F60" s="33" t="s">
        <v>1</v>
      </c>
    </row>
    <row r="61" spans="1:6" s="3" customFormat="1" ht="15.75" customHeight="1" x14ac:dyDescent="0.5">
      <c r="A61" s="88" t="str">
        <f t="shared" si="6"/>
        <v/>
      </c>
      <c r="B61" s="33" t="s">
        <v>31</v>
      </c>
      <c r="C61" s="33"/>
      <c r="D61" s="39"/>
      <c r="E61" s="39">
        <f>SUM(E57:E60)</f>
        <v>2.2000000000000002</v>
      </c>
      <c r="F61" s="33" t="s">
        <v>1</v>
      </c>
    </row>
    <row r="62" spans="1:6" s="3" customFormat="1" ht="15.75" customHeight="1" x14ac:dyDescent="0.5">
      <c r="A62" s="88" t="str">
        <f t="shared" ref="A62:A67" si="8">IF(ISBLANK(M2_Name),NA(),"")</f>
        <v/>
      </c>
      <c r="B62" s="43" t="s">
        <v>14</v>
      </c>
      <c r="C62" s="102" t="str">
        <f>M2_Name</f>
        <v>Sämaschine 3m</v>
      </c>
      <c r="D62" s="102"/>
      <c r="E62" s="102"/>
      <c r="F62" s="102"/>
    </row>
    <row r="63" spans="1:6" s="3" customFormat="1" ht="15.75" customHeight="1" x14ac:dyDescent="0.5">
      <c r="A63" s="88" t="str">
        <f t="shared" si="8"/>
        <v/>
      </c>
      <c r="B63" s="44" t="s">
        <v>60</v>
      </c>
      <c r="C63" s="52">
        <v>0</v>
      </c>
      <c r="D63" s="51">
        <v>1.5</v>
      </c>
      <c r="E63" s="50">
        <f>C63*D63</f>
        <v>0</v>
      </c>
      <c r="F63" s="44" t="s">
        <v>1</v>
      </c>
    </row>
    <row r="64" spans="1:6" s="3" customFormat="1" ht="15.75" customHeight="1" x14ac:dyDescent="0.5">
      <c r="A64" s="88" t="str">
        <f t="shared" si="8"/>
        <v/>
      </c>
      <c r="B64" s="44" t="s">
        <v>61</v>
      </c>
      <c r="C64" s="52">
        <v>0.2</v>
      </c>
      <c r="D64" s="53">
        <v>4</v>
      </c>
      <c r="E64" s="50">
        <f t="shared" ref="E64:E66" si="9">C64*D64</f>
        <v>0.8</v>
      </c>
      <c r="F64" s="44" t="s">
        <v>1</v>
      </c>
    </row>
    <row r="65" spans="1:6" s="3" customFormat="1" ht="15.75" customHeight="1" x14ac:dyDescent="0.5">
      <c r="A65" s="88" t="str">
        <f t="shared" si="8"/>
        <v/>
      </c>
      <c r="B65" s="44" t="s">
        <v>62</v>
      </c>
      <c r="C65" s="54">
        <v>0.7</v>
      </c>
      <c r="D65" s="46">
        <f>M2_Anschaffungspreis/100/100</f>
        <v>1.8</v>
      </c>
      <c r="E65" s="50">
        <f>C65*D65</f>
        <v>1.26</v>
      </c>
      <c r="F65" s="44" t="s">
        <v>1</v>
      </c>
    </row>
    <row r="66" spans="1:6" s="3" customFormat="1" ht="15.75" customHeight="1" x14ac:dyDescent="0.5">
      <c r="A66" s="88" t="str">
        <f t="shared" si="8"/>
        <v/>
      </c>
      <c r="B66" s="44" t="s">
        <v>30</v>
      </c>
      <c r="C66" s="52">
        <v>0</v>
      </c>
      <c r="D66" s="53">
        <v>1</v>
      </c>
      <c r="E66" s="50">
        <f t="shared" si="9"/>
        <v>0</v>
      </c>
      <c r="F66" s="44" t="s">
        <v>1</v>
      </c>
    </row>
    <row r="67" spans="1:6" s="3" customFormat="1" ht="15.75" customHeight="1" x14ac:dyDescent="0.5">
      <c r="A67" s="88" t="str">
        <f t="shared" si="8"/>
        <v/>
      </c>
      <c r="B67" s="44" t="s">
        <v>31</v>
      </c>
      <c r="C67" s="44"/>
      <c r="D67" s="50"/>
      <c r="E67" s="50">
        <f>SUM(E63:E66)</f>
        <v>2.06</v>
      </c>
      <c r="F67" s="44" t="s">
        <v>1</v>
      </c>
    </row>
    <row r="68" spans="1:6" s="4" customFormat="1" ht="15.75" customHeight="1" thickBot="1" x14ac:dyDescent="0.55000000000000004">
      <c r="A68" s="67"/>
      <c r="B68" s="30" t="s">
        <v>33</v>
      </c>
      <c r="C68" s="30"/>
      <c r="D68" s="80"/>
      <c r="E68" s="85">
        <f>E55+E61+E67</f>
        <v>38.06</v>
      </c>
      <c r="F68" s="30" t="s">
        <v>1</v>
      </c>
    </row>
    <row r="69" spans="1:6" s="4" customFormat="1" ht="15.75" customHeight="1" thickTop="1" thickBot="1" x14ac:dyDescent="0.55000000000000004">
      <c r="A69" s="67" t="s">
        <v>50</v>
      </c>
      <c r="B69" s="30" t="s">
        <v>35</v>
      </c>
      <c r="C69" s="30"/>
      <c r="D69" s="80"/>
      <c r="E69" s="85">
        <f>E48+E68</f>
        <v>81.944444444444443</v>
      </c>
      <c r="F69" s="30" t="s">
        <v>1</v>
      </c>
    </row>
    <row r="70" spans="1:6" s="4" customFormat="1" ht="15.75" customHeight="1" thickTop="1" x14ac:dyDescent="0.5">
      <c r="A70" s="11"/>
      <c r="D70" s="16"/>
      <c r="E70" s="16"/>
    </row>
    <row r="71" spans="1:6" s="3" customFormat="1" ht="15.75" customHeight="1" x14ac:dyDescent="0.5">
      <c r="A71" s="55" t="s">
        <v>42</v>
      </c>
      <c r="B71" s="56" t="s">
        <v>34</v>
      </c>
      <c r="C71" s="56"/>
      <c r="D71" s="56"/>
      <c r="E71" s="57">
        <v>18</v>
      </c>
      <c r="F71" s="5" t="s">
        <v>1</v>
      </c>
    </row>
    <row r="72" spans="1:6" s="3" customFormat="1" ht="15.75" customHeight="1" x14ac:dyDescent="0.5">
      <c r="A72" s="11"/>
      <c r="C72" s="4"/>
      <c r="D72" s="4"/>
      <c r="E72" s="13"/>
    </row>
    <row r="73" spans="1:6" s="3" customFormat="1" ht="15.75" customHeight="1" x14ac:dyDescent="0.5">
      <c r="A73" s="55" t="s">
        <v>5</v>
      </c>
      <c r="B73" s="56" t="s">
        <v>63</v>
      </c>
      <c r="C73" s="96" t="s">
        <v>48</v>
      </c>
      <c r="D73" s="96" t="s">
        <v>49</v>
      </c>
      <c r="E73" s="96" t="s">
        <v>25</v>
      </c>
      <c r="F73" s="5"/>
    </row>
    <row r="74" spans="1:6" s="3" customFormat="1" ht="15.75" x14ac:dyDescent="0.5">
      <c r="A74" s="7"/>
      <c r="B74" s="5" t="s">
        <v>53</v>
      </c>
      <c r="C74" s="89">
        <f>1/(1+GK_NebenzeitenPersonal)</f>
        <v>0.7142857142857143</v>
      </c>
      <c r="D74" s="58">
        <v>0.4</v>
      </c>
      <c r="E74" s="59">
        <f>GK_Personalkosten*GK_NebenzeitenPersonal</f>
        <v>7.2</v>
      </c>
      <c r="F74" s="60" t="s">
        <v>1</v>
      </c>
    </row>
    <row r="75" spans="1:6" s="3" customFormat="1" ht="15.75" x14ac:dyDescent="0.5">
      <c r="A75" s="7"/>
      <c r="B75" s="5" t="s">
        <v>52</v>
      </c>
      <c r="C75" s="89">
        <f>1/(1+GK_NebenzeitenGrundmaschine)</f>
        <v>0.83333333333333337</v>
      </c>
      <c r="D75" s="58">
        <v>0.2</v>
      </c>
      <c r="E75" s="59">
        <f>($E$55+$E$31)*D75</f>
        <v>9.198888888888888</v>
      </c>
      <c r="F75" s="60" t="s">
        <v>1</v>
      </c>
    </row>
    <row r="76" spans="1:6" s="3" customFormat="1" ht="16.149999999999999" thickBot="1" x14ac:dyDescent="0.55000000000000004">
      <c r="A76" s="55"/>
      <c r="B76" s="55" t="s">
        <v>64</v>
      </c>
      <c r="C76" s="55"/>
      <c r="D76" s="74"/>
      <c r="E76" s="84">
        <f>SUM(E74:E75)</f>
        <v>16.398888888888887</v>
      </c>
      <c r="F76" s="75" t="s">
        <v>1</v>
      </c>
    </row>
    <row r="77" spans="1:6" s="3" customFormat="1" ht="16.149999999999999" thickTop="1" x14ac:dyDescent="0.5">
      <c r="A77" s="11"/>
      <c r="B77" s="11"/>
      <c r="C77" s="11"/>
      <c r="D77" s="81"/>
      <c r="E77" s="17"/>
      <c r="F77" s="82"/>
    </row>
    <row r="78" spans="1:6" s="3" customFormat="1" ht="15.75" x14ac:dyDescent="0.5">
      <c r="A78" s="61" t="s">
        <v>6</v>
      </c>
      <c r="B78" s="61" t="s">
        <v>56</v>
      </c>
      <c r="C78" s="62"/>
      <c r="D78" s="97" t="s">
        <v>49</v>
      </c>
      <c r="E78" s="98" t="s">
        <v>25</v>
      </c>
      <c r="F78" s="64"/>
    </row>
    <row r="79" spans="1:6" s="3" customFormat="1" ht="15.75" x14ac:dyDescent="0.5">
      <c r="A79" s="62"/>
      <c r="B79" s="65" t="s">
        <v>57</v>
      </c>
      <c r="C79" s="65"/>
      <c r="D79" s="66">
        <v>0.12</v>
      </c>
      <c r="E79" s="63">
        <f>GK_OrganisationsUnternehmenskosten*($E$69+GK_Personalkosten)</f>
        <v>11.993333333333332</v>
      </c>
      <c r="F79" s="64" t="s">
        <v>1</v>
      </c>
    </row>
    <row r="80" spans="1:6" s="3" customFormat="1" ht="15.75" x14ac:dyDescent="0.5">
      <c r="A80" s="8"/>
      <c r="D80" s="15"/>
      <c r="E80" s="9"/>
      <c r="F80" s="14"/>
    </row>
    <row r="81" spans="1:6" s="3" customFormat="1" ht="15.75" x14ac:dyDescent="0.5">
      <c r="A81" s="61" t="s">
        <v>7</v>
      </c>
      <c r="B81" s="69" t="s">
        <v>65</v>
      </c>
      <c r="C81" s="65"/>
      <c r="D81" s="97" t="s">
        <v>49</v>
      </c>
      <c r="E81" s="98" t="s">
        <v>25</v>
      </c>
      <c r="F81" s="64"/>
    </row>
    <row r="82" spans="1:6" s="3" customFormat="1" ht="15.75" x14ac:dyDescent="0.5">
      <c r="A82" s="62"/>
      <c r="B82" s="65" t="s">
        <v>66</v>
      </c>
      <c r="C82" s="65"/>
      <c r="D82" s="66">
        <v>0.03</v>
      </c>
      <c r="E82" s="63">
        <f>GK_Wagnis*($E$69+GK_Personalkosten)</f>
        <v>2.9983333333333331</v>
      </c>
      <c r="F82" s="65" t="s">
        <v>1</v>
      </c>
    </row>
    <row r="83" spans="1:6" s="3" customFormat="1" ht="15.75" x14ac:dyDescent="0.5">
      <c r="A83" s="11"/>
      <c r="B83" s="11"/>
      <c r="C83" s="11"/>
      <c r="D83" s="81"/>
      <c r="E83" s="17"/>
      <c r="F83" s="82"/>
    </row>
    <row r="84" spans="1:6" s="4" customFormat="1" ht="16.149999999999999" thickBot="1" x14ac:dyDescent="0.55000000000000004">
      <c r="A84" s="70" t="s">
        <v>54</v>
      </c>
      <c r="B84" s="71" t="s">
        <v>37</v>
      </c>
      <c r="C84" s="71"/>
      <c r="D84" s="72"/>
      <c r="E84" s="83">
        <f>$E$69+GK_Personalkosten+$E$76+$E$79+$E$82</f>
        <v>131.33500000000001</v>
      </c>
      <c r="F84" s="71" t="s">
        <v>1</v>
      </c>
    </row>
    <row r="85" spans="1:6" s="4" customFormat="1" ht="16.149999999999999" thickTop="1" x14ac:dyDescent="0.5">
      <c r="A85" s="11"/>
      <c r="D85" s="16"/>
      <c r="E85" s="17"/>
    </row>
    <row r="86" spans="1:6" s="4" customFormat="1" ht="15.75" x14ac:dyDescent="0.5">
      <c r="A86" s="70" t="s">
        <v>55</v>
      </c>
      <c r="B86" s="71" t="s">
        <v>47</v>
      </c>
      <c r="C86" s="99" t="s">
        <v>44</v>
      </c>
      <c r="D86" s="100" t="s">
        <v>45</v>
      </c>
      <c r="E86" s="101" t="s">
        <v>46</v>
      </c>
      <c r="F86" s="101" t="s">
        <v>59</v>
      </c>
    </row>
    <row r="87" spans="1:6" s="3" customFormat="1" ht="15.75" x14ac:dyDescent="0.5">
      <c r="A87" s="76"/>
      <c r="B87" s="73" t="s">
        <v>67</v>
      </c>
      <c r="C87" s="77">
        <v>0.8</v>
      </c>
      <c r="D87" s="77">
        <v>1.3</v>
      </c>
      <c r="E87" s="78">
        <f>AVERAGE(C87:D87)</f>
        <v>1.05</v>
      </c>
      <c r="F87" s="79">
        <f>AVEDEV(C87:D87)/E87</f>
        <v>0.23809523809523808</v>
      </c>
    </row>
    <row r="88" spans="1:6" s="4" customFormat="1" ht="16.149999999999999" thickBot="1" x14ac:dyDescent="0.55000000000000004">
      <c r="A88" s="70"/>
      <c r="B88" s="71" t="s">
        <v>43</v>
      </c>
      <c r="C88" s="83">
        <f>$E$84/C87</f>
        <v>164.16874999999999</v>
      </c>
      <c r="D88" s="83">
        <f t="shared" ref="D88:E88" si="10">$E$84/D87</f>
        <v>101.02692307692308</v>
      </c>
      <c r="E88" s="83">
        <f t="shared" si="10"/>
        <v>125.08095238095238</v>
      </c>
      <c r="F88" s="71" t="s">
        <v>1</v>
      </c>
    </row>
    <row r="89" spans="1:6" ht="14.65" thickTop="1" x14ac:dyDescent="0.45"/>
  </sheetData>
  <autoFilter ref="A3:F69" xr:uid="{00000000-0001-0000-0000-000000000000}">
    <filterColumn colId="0">
      <filters blank="1">
        <filter val="1."/>
        <filter val="1.+2."/>
        <filter val="2."/>
      </filters>
    </filterColumn>
  </autoFilter>
  <mergeCells count="9">
    <mergeCell ref="C62:F62"/>
    <mergeCell ref="C4:F4"/>
    <mergeCell ref="C10:F10"/>
    <mergeCell ref="C16:F16"/>
    <mergeCell ref="C24:F24"/>
    <mergeCell ref="C32:F32"/>
    <mergeCell ref="C40:F40"/>
    <mergeCell ref="C50:F50"/>
    <mergeCell ref="C56:F56"/>
  </mergeCells>
  <conditionalFormatting sqref="A22:E22 A23:F88">
    <cfRule type="expression" dxfId="1" priority="3">
      <formula>CELL("Schutz",A22)=0</formula>
    </cfRule>
  </conditionalFormatting>
  <conditionalFormatting sqref="A1:F21">
    <cfRule type="expression" dxfId="0" priority="1">
      <formula>CELL("Schutz",A1)=0</formula>
    </cfRule>
  </conditionalFormatting>
  <pageMargins left="0.70866141732283472" right="0.70866141732283472" top="0.78740157480314965" bottom="0.78740157480314965" header="0.31496062992125984" footer="0.31496062992125984"/>
  <pageSetup paperSize="9" scale="86" fitToHeight="0" orientation="portrait" r:id="rId1"/>
  <headerFooter>
    <oddHeader>&amp;LSeite &amp;P/&amp;N&amp;Cwww.online-kalkulator.at&amp;R&amp;D</oddHeader>
    <oddFooter>&amp;C© HELSCH-Beratung im Ländlichen Raum, Pummerinplatz 2, 4490 St. Florian, T: +43 676 3112260, E: scherzer@helsch.at</oddFooter>
  </headerFooter>
  <rowBreaks count="1" manualBreakCount="1">
    <brk id="48" max="16383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Arbeitsblätter</vt:lpstr>
      </vt:variant>
      <vt:variant>
        <vt:i4>1</vt:i4>
      </vt:variant>
      <vt:variant>
        <vt:lpstr>Benannte Bereiche</vt:lpstr>
      </vt:variant>
      <vt:variant>
        <vt:i4>60</vt:i4>
      </vt:variant>
    </vt:vector>
  </HeadingPairs>
  <TitlesOfParts>
    <vt:vector size="61" baseType="lpstr">
      <vt:lpstr>Arbeitsverfahren</vt:lpstr>
      <vt:lpstr>Arbeitsverfahren!GK_LeistungsbereichMax</vt:lpstr>
      <vt:lpstr>Arbeitsverfahren!GK_LeistungsbereichMin</vt:lpstr>
      <vt:lpstr>Arbeitsverfahren!GK_NebenzeitenGrundmaschine</vt:lpstr>
      <vt:lpstr>Arbeitsverfahren!GK_NebenzeitenPersonal</vt:lpstr>
      <vt:lpstr>Arbeitsverfahren!GK_OrganisationsUnternehmenskosten</vt:lpstr>
      <vt:lpstr>Arbeitsverfahren!GK_Personalkosten</vt:lpstr>
      <vt:lpstr>Arbeitsverfahren!GK_Wagnis</vt:lpstr>
      <vt:lpstr>Arbeitsverfahren!GM_Anschaffungspreis</vt:lpstr>
      <vt:lpstr>Arbeitsverfahren!GM_GebuehrenRel</vt:lpstr>
      <vt:lpstr>Arbeitsverfahren!GM_Jahresstunden</vt:lpstr>
      <vt:lpstr>Arbeitsverfahren!GM_MieteAbs</vt:lpstr>
      <vt:lpstr>Arbeitsverfahren!GM_Name</vt:lpstr>
      <vt:lpstr>Arbeitsverfahren!GM_Nutzungsdauer</vt:lpstr>
      <vt:lpstr>Arbeitsverfahren!GM_ReparaturenRel</vt:lpstr>
      <vt:lpstr>Arbeitsverfahren!GM_Restwert</vt:lpstr>
      <vt:lpstr>Arbeitsverfahren!GM_SchmierstoffKosten</vt:lpstr>
      <vt:lpstr>Arbeitsverfahren!GM_SchmierstoffVerbrauch</vt:lpstr>
      <vt:lpstr>Arbeitsverfahren!GM_SonstigesKosten</vt:lpstr>
      <vt:lpstr>Arbeitsverfahren!GM_SonstigesVerbrauch</vt:lpstr>
      <vt:lpstr>Arbeitsverfahren!GM_TreibstoffKosten</vt:lpstr>
      <vt:lpstr>Arbeitsverfahren!GM_TreibstoffVerbrauch</vt:lpstr>
      <vt:lpstr>Arbeitsverfahren!GM_UnterbringungRel</vt:lpstr>
      <vt:lpstr>Arbeitsverfahren!GM_VersicherungRel</vt:lpstr>
      <vt:lpstr>Arbeitsverfahren!GM_Zinssatz</vt:lpstr>
      <vt:lpstr>Arbeitsverfahren!M1_Aktiv</vt:lpstr>
      <vt:lpstr>Arbeitsverfahren!M1_Anschaffungspreis</vt:lpstr>
      <vt:lpstr>Arbeitsverfahren!M1_GebuehrenRel</vt:lpstr>
      <vt:lpstr>Arbeitsverfahren!M1_Jahresstunden</vt:lpstr>
      <vt:lpstr>Arbeitsverfahren!M1_MieteAbs</vt:lpstr>
      <vt:lpstr>Arbeitsverfahren!M1_Name</vt:lpstr>
      <vt:lpstr>Arbeitsverfahren!M1_Nutzungsdauer</vt:lpstr>
      <vt:lpstr>Arbeitsverfahren!M1_ReparaturenRel</vt:lpstr>
      <vt:lpstr>Arbeitsverfahren!M1_Restwert</vt:lpstr>
      <vt:lpstr>Arbeitsverfahren!M1_SchmierstoffKosten</vt:lpstr>
      <vt:lpstr>Arbeitsverfahren!M1_SchmierstoffVerbrauch</vt:lpstr>
      <vt:lpstr>Arbeitsverfahren!M1_SonstigesKosten</vt:lpstr>
      <vt:lpstr>Arbeitsverfahren!M1_SonstigesVerbrauch</vt:lpstr>
      <vt:lpstr>Arbeitsverfahren!M1_TreibstoffKosten</vt:lpstr>
      <vt:lpstr>Arbeitsverfahren!M1_TreibstoffVerbrauch</vt:lpstr>
      <vt:lpstr>Arbeitsverfahren!M1_UnterbringungRel</vt:lpstr>
      <vt:lpstr>Arbeitsverfahren!M1_VersicherungRel</vt:lpstr>
      <vt:lpstr>Arbeitsverfahren!M1_Zinssatz</vt:lpstr>
      <vt:lpstr>Arbeitsverfahren!M2_Aktiv</vt:lpstr>
      <vt:lpstr>Arbeitsverfahren!M2_Anschaffungspreis</vt:lpstr>
      <vt:lpstr>Arbeitsverfahren!M2_GebuehrenRel</vt:lpstr>
      <vt:lpstr>Arbeitsverfahren!M2_Jahresstunden</vt:lpstr>
      <vt:lpstr>Arbeitsverfahren!M2_MieteAbs</vt:lpstr>
      <vt:lpstr>Arbeitsverfahren!M2_Name</vt:lpstr>
      <vt:lpstr>Arbeitsverfahren!M2_Nutzungsdauer</vt:lpstr>
      <vt:lpstr>Arbeitsverfahren!M2_ReparaturenRel</vt:lpstr>
      <vt:lpstr>Arbeitsverfahren!M2_Restwert</vt:lpstr>
      <vt:lpstr>Arbeitsverfahren!M2_SchmierstoffKosten</vt:lpstr>
      <vt:lpstr>Arbeitsverfahren!M2_SchmierstoffVerbrauch</vt:lpstr>
      <vt:lpstr>Arbeitsverfahren!M2_SonstigesKosten</vt:lpstr>
      <vt:lpstr>Arbeitsverfahren!M2_SonstigesVerbrauch</vt:lpstr>
      <vt:lpstr>Arbeitsverfahren!M2_TreibstoffKosten</vt:lpstr>
      <vt:lpstr>Arbeitsverfahren!M2_TreibstoffVerbrauch</vt:lpstr>
      <vt:lpstr>Arbeitsverfahren!M2_UnterbringungRel</vt:lpstr>
      <vt:lpstr>Arbeitsverfahren!M2_VersicherungRel</vt:lpstr>
      <vt:lpstr>Arbeitsverfahren!M2_Zinssatz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Scherzer Helmut</dc:creator>
  <cp:lastModifiedBy>Scherzer Thomas</cp:lastModifiedBy>
  <cp:lastPrinted>2026-02-01T19:41:23Z</cp:lastPrinted>
  <dcterms:created xsi:type="dcterms:W3CDTF">2016-04-04T14:48:12Z</dcterms:created>
  <dcterms:modified xsi:type="dcterms:W3CDTF">2026-02-01T19:48:05Z</dcterms:modified>
</cp:coreProperties>
</file>